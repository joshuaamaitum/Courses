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GROPARISTECH\R_TUTORIAL\Tutorial_R\"/>
    </mc:Choice>
  </mc:AlternateContent>
  <xr:revisionPtr revIDLastSave="0" documentId="13_ncr:1_{494D2924-40F7-4FB0-B6D0-1561F8F07C9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Questions" sheetId="1" r:id="rId1"/>
    <sheet name="Feuil2" sheetId="2" r:id="rId2"/>
    <sheet name="Feuil3" sheetId="3" r:id="rId3"/>
  </sheets>
  <definedNames>
    <definedName name="Essais">Questions!$AB$2:$AB$41</definedName>
    <definedName name="Formule">Questions!$Y$2</definedName>
    <definedName name="Ord">Questions!$Z$2:$Z$41</definedName>
    <definedName name="Rep">Questions!$AA$1</definedName>
    <definedName name="Réponses">Questions!$I$2:$I$3</definedName>
    <definedName name="Validation">Questions!$D$2:$D$41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8" i="1" l="1"/>
  <c r="AB20" i="1"/>
  <c r="AB12" i="1"/>
  <c r="AB10" i="1"/>
  <c r="AB4" i="1"/>
  <c r="AB2" i="1"/>
  <c r="AB14" i="1"/>
  <c r="AB16" i="1"/>
  <c r="AB15" i="1"/>
  <c r="AB8" i="1"/>
  <c r="AB6" i="1"/>
  <c r="AB18" i="1"/>
  <c r="AB17" i="1"/>
  <c r="AB9" i="1"/>
  <c r="AB3" i="1"/>
  <c r="AB11" i="1"/>
  <c r="AB37" i="1"/>
  <c r="AB36" i="1"/>
  <c r="AB35" i="1"/>
  <c r="AB29" i="1"/>
  <c r="AB27" i="1"/>
  <c r="AB19" i="1"/>
  <c r="AB5" i="1"/>
  <c r="AB38" i="1"/>
  <c r="AB21" i="1"/>
  <c r="AB26" i="1"/>
  <c r="AB23" i="1"/>
  <c r="AB7" i="1"/>
  <c r="AB34" i="1"/>
  <c r="AB13" i="1"/>
  <c r="AB30" i="1"/>
  <c r="AB22" i="1"/>
  <c r="AB40" i="1"/>
  <c r="AB31" i="1"/>
  <c r="AB32" i="1"/>
  <c r="AB24" i="1"/>
  <c r="AB25" i="1"/>
  <c r="AB33" i="1"/>
  <c r="AB39" i="1"/>
  <c r="AB41" i="1"/>
  <c r="Y2" i="1"/>
  <c r="Y3" i="1" l="1"/>
  <c r="Y4" i="1"/>
  <c r="Y5" i="1" l="1"/>
</calcChain>
</file>

<file path=xl/sharedStrings.xml><?xml version="1.0" encoding="utf-8"?>
<sst xmlns="http://schemas.openxmlformats.org/spreadsheetml/2006/main" count="138" uniqueCount="57">
  <si>
    <t>No</t>
  </si>
  <si>
    <t>Question</t>
  </si>
  <si>
    <t>Answer</t>
  </si>
  <si>
    <t>For how many territories do we have data ?</t>
  </si>
  <si>
    <t>B</t>
  </si>
  <si>
    <t>Where are stored the names of the territories ?
A - In the first column
B - In the rownames</t>
  </si>
  <si>
    <t>How many levels has the only factor variable ?</t>
  </si>
  <si>
    <t>C</t>
  </si>
  <si>
    <t>To which continent belong the territories with missing values ?
A - Africa                C - Asia                 E - Europe
B - America            D - Australia</t>
  </si>
  <si>
    <t>E</t>
  </si>
  <si>
    <t>Which continent has the largest number of territories ?
A - Africa                C - Asia                 E - Europe
B - America            D - Australia</t>
  </si>
  <si>
    <t>A</t>
  </si>
  <si>
    <t>In the summary of log10(FA), how many statistics display infinite value ?</t>
  </si>
  <si>
    <t>Which continent has the highest forest cover rate ?
A - Africa                C - Asia                 E - Europe
B - America            D - Australia</t>
  </si>
  <si>
    <t>D</t>
  </si>
  <si>
    <t>Select the rows 71, 82, 127, 130, 169.
What is common to these territories ?
A - all are islands
B - all are oversea french regions
C - all belong to the american continent</t>
  </si>
  <si>
    <t>Among the 6 largest countries of the world, which one has the largest forest area ?
A - Australia            C - Canada           E - Russian Federation
B - Brazil                  D - China              F - USA</t>
  </si>
  <si>
    <t>Among the largest countries of the american continent, which one has the largest forest area ?
A - Brazil            B - Canada           C - USA</t>
  </si>
  <si>
    <t>What do mean the variable names "LA" and "FA" ?
A - Land area and Forest area
B - Land activity and Forest attractivity
C - Los Angeles and Fort Alamo</t>
  </si>
  <si>
    <t>What is their unit ?
A - ha              B - km2           C - 1000 ha</t>
  </si>
  <si>
    <t>How R does classify a list of integers ?
A - a factor variable             B - a numeric variable</t>
  </si>
  <si>
    <t>Select the data of French Guiana and France. The ratio of their forest areas is not  far from :
A - 20%       B - 30%       C - 40%       D - 50%</t>
  </si>
  <si>
    <t>Looking at its summary, it is likely that the forest cover rate has a distribution 
A - Asymmetrical               B - Symmetrical</t>
  </si>
  <si>
    <t>Which territory displays the highest forest cover rate ?
A - French Guiana         C  - Guyana             E - Suriname
B - Gabon                       D -  Laos                  F - Micronesia</t>
  </si>
  <si>
    <t xml:space="preserve">How many territories have a forest area comprised between 100 000 and 1000 000 ha ?
A - less than 30         C  - 35 to 40           E - more than 45
B - 30 to 35               D -  40 to 45              </t>
  </si>
  <si>
    <t>How many factor variables do we have ?</t>
  </si>
  <si>
    <t>How many numeric/integer variables do we have ?</t>
  </si>
  <si>
    <t>What is the minimum value of forest area ?</t>
  </si>
  <si>
    <t>Fiji</t>
  </si>
  <si>
    <t>Which territory has the lowest forest area, in this data set ?</t>
  </si>
  <si>
    <t>Brazil</t>
  </si>
  <si>
    <t>How many levels has the variable Climate ?</t>
  </si>
  <si>
    <t>What do contain the rownames ?
A - Names of the countries/territories
B - Short code names of the countries/territories</t>
  </si>
  <si>
    <t>Which territory has the lowest (=more negative value) forest area change - among the territories providing this information?</t>
  </si>
  <si>
    <t>Which territory has the highest forest area change - among the territories providing this information?</t>
  </si>
  <si>
    <t>China</t>
  </si>
  <si>
    <t>How many countries have no missing value ?</t>
  </si>
  <si>
    <t>Here is the list of countries having  more than 5 missing values, except one having only 1 missing value. The outlier is :
A - Afghanistan        C - Colombia         E - South Sudan
B - Azerbaïdjan        D - Nepal                F - Venezuela</t>
  </si>
  <si>
    <t>The 3 variables having more than 40 missing values are the only variables describing :
A - Wood volume of forests
B - Species composition of forests
C - Protection status of forests</t>
  </si>
  <si>
    <t>Other woodlands are vegetation types with sparse trees and/or bushes. Under which climate are they most common ?
A - Cold          B - Temperate         C - Tropical        D - Dry</t>
  </si>
  <si>
    <t>Which climate displays the 2/3 of the world forest biomass ?
A - Cold          B - Temperate         C - Tropical        D - Dry</t>
  </si>
  <si>
    <t>Under which climate do we find more than half of the world forest plantations ?
A - Cold          B - Temperate         C - Tropical        D - Dry</t>
  </si>
  <si>
    <t>Under which climate do we find half of the world primary forests ?
A - Cold          B - Temperate         C - Tropical        D - Dry</t>
  </si>
  <si>
    <t>Under which climate do we find more than 60% of the world  coniferous forest volume ?
A - Cold          B - Temperate         C - Tropical        D - Dry</t>
  </si>
  <si>
    <t>The world forest area decreased from 1990 to 2015 at the mean rate of more than 4 million hectares per year, mostly under the climate
A - Cold          B - Temperate         C - Tropical        D - Dry</t>
  </si>
  <si>
    <t>The natural forests having the lowest species diversity are mostly found under the climate
A - Cold          B - Temperate         C - Tropical        D - Dry</t>
  </si>
  <si>
    <t>Under which climate do we find the lowest forest volume per hectare ?
A - Cold          B - Temperate         C - Tropical        D - Dry</t>
  </si>
  <si>
    <t xml:space="preserve">What is the common feature of the countries displayed toward the bottomright corner of the graph ?
A - African countries
B - Desertic countries     </t>
  </si>
  <si>
    <t>Comparing the FA quantiles to the mean FA shows that
A - more than 75% of the FA values are lower than the mean
B - less than 75% of the FA values are lower than the mean
C - more than 75% of the FA values are higher than the mean</t>
  </si>
  <si>
    <t>To which interval do belong the medians of both variables "Land area" and "Forest area" ?
A - [3 - 4 ha]      
B - [3 000 - 4 000 ha]      
C - [1 000 000 - 10 000 000 ha]</t>
  </si>
  <si>
    <t/>
  </si>
  <si>
    <t>Results</t>
  </si>
  <si>
    <t>Right answers (last checking)</t>
  </si>
  <si>
    <t>Wrong answers (sum of all checkings)</t>
  </si>
  <si>
    <t>Valid.</t>
  </si>
  <si>
    <t>Trials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</si>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</sst>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9" fontId="0" fillId="0" borderId="0" xfId="1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4" fillId="2" borderId="3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/>
    <xf numFmtId="0" fontId="4" fillId="2" borderId="6" xfId="0" applyFont="1" applyFill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4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251458</xdr:colOff>
      <xdr:row>3</xdr:row>
      <xdr:rowOff>158114</xdr:rowOff>
    </xdr:from>
    <xdr:to>
      <xdr:col>8</xdr:col>
      <xdr:colOff>152400</xdr:colOff>
      <xdr:row>4</xdr:row>
      <xdr:rowOff>657225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575933" y="729614"/>
          <a:ext cx="3348992" cy="1070611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fr-FR" sz="1200"/>
            <a:t>Write your answers in the column C (Answer)</a:t>
          </a:r>
        </a:p>
        <a:p>
          <a:pPr algn="ctr"/>
          <a:r>
            <a:rPr lang="fr-FR" sz="1200"/>
            <a:t>For checking</a:t>
          </a:r>
          <a:r>
            <a:rPr lang="fr-FR" sz="1200" baseline="0"/>
            <a:t> if they are right or wrong, click on the button "Check" : a green V means "validated" and a red "X" means "wrong"</a:t>
          </a:r>
        </a:p>
        <a:p>
          <a:pPr algn="ctr"/>
          <a:r>
            <a:rPr lang="fr-FR" sz="1200" baseline="0"/>
            <a:t>Change the wrong answers before checking again.</a:t>
          </a:r>
          <a:endParaRPr lang="fr-FR" sz="1200">
            <a:effectLst/>
          </a:endParaRPr>
        </a:p>
      </xdr:txBody>
    </xdr:sp>
    <xdr:clientData/>
  </xdr:twoCellAnchor>
  <xdr:twoCellAnchor>
    <xdr:from>
      <xdr:col>5</xdr:col>
      <xdr:colOff>142875</xdr:colOff>
      <xdr:row>0</xdr:row>
      <xdr:rowOff>152400</xdr:rowOff>
    </xdr:from>
    <xdr:to>
      <xdr:col>5</xdr:col>
      <xdr:colOff>847725</xdr:colOff>
      <xdr:row>2</xdr:row>
      <xdr:rowOff>123825</xdr:rowOff>
    </xdr:to>
    <xdr:sp macro="[0]!Module1.Validation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38725" y="152400"/>
          <a:ext cx="704850" cy="352425"/>
        </a:xfrm>
        <a:prstGeom prst="roundRect">
          <a:avLst/>
        </a:prstGeom>
        <a:solidFill>
          <a:srgbClr val="FFFF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C00000"/>
              </a:solidFill>
            </a:rPr>
            <a:t>Check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B43"/>
  <sheetViews>
    <sheetView tabSelected="1" topLeftCell="A37" zoomScale="80" zoomScaleNormal="80" workbookViewId="0"/>
  </sheetViews>
  <sheetFormatPr defaultColWidth="10.90625" defaultRowHeight="14.5" x14ac:dyDescent="0.35"/>
  <cols>
    <col min="1" max="1" width="4.453125" style="3" customWidth="1"/>
    <col min="2" max="2" width="52.36328125" bestFit="1" customWidth="1"/>
    <col min="3" max="3" width="8.453125" style="3" customWidth="1"/>
    <col min="4" max="5" width="7.36328125" customWidth="1"/>
    <col min="6" max="6" width="14.36328125" customWidth="1"/>
    <col min="7" max="7" width="2.453125" customWidth="1"/>
    <col min="8" max="8" width="34.81640625" customWidth="1"/>
    <col min="9" max="9" width="5" customWidth="1"/>
    <col min="23" max="24" width="11.453125"/>
    <col min="25" max="28" width="11.453125" style="11"/>
    <col min="29" max="29" width="11.453125"/>
  </cols>
  <sheetData>
    <row r="1" spans="1:28" x14ac:dyDescent="0.35">
      <c r="A1" s="4" t="s">
        <v>0</v>
      </c>
      <c r="B1" s="5" t="s">
        <v>1</v>
      </c>
      <c r="C1" s="4" t="s">
        <v>2</v>
      </c>
      <c r="D1" s="4" t="s">
        <v>54</v>
      </c>
      <c r="E1" s="4" t="s">
        <v>55</v>
      </c>
      <c r="F1" s="4"/>
      <c r="H1" s="14" t="s">
        <v>51</v>
      </c>
      <c r="I1" s="15"/>
      <c r="Z1" s="12" t="s">
        <v>0</v>
      </c>
      <c r="AA1" s="12" t="s">
        <v>2</v>
      </c>
      <c r="AB1" s="12" t="s">
        <v>55</v>
      </c>
    </row>
    <row r="2" spans="1:28" x14ac:dyDescent="0.35">
      <c r="A2" s="3">
        <v>1</v>
      </c>
      <c r="B2" t="s">
        <v>3</v>
      </c>
      <c r="C2" s="3">
        <v>232</v>
      </c>
      <c r="D2" s="12" t="s">
        <v>56</v>
      </c>
      <c r="E2" s="10">
        <v>1</v>
      </c>
      <c r="F2" s="4"/>
      <c r="H2" s="6" t="s">
        <v>52</v>
      </c>
      <c r="I2" s="7">
        <v>19</v>
      </c>
      <c r="Y2" s="12" t="str">
        <f ca="1">IF(X2="","",IF($C2=OFFSET(Rep,MATCH($A2,Ord,0),),"V","X"))</f>
        <v/>
      </c>
      <c r="Z2" s="13">
        <v>35</v>
      </c>
      <c r="AA2" s="13" t="s">
        <v>4</v>
      </c>
      <c r="AB2" s="11">
        <f>IF($D2="X",1,0)+$E2</f>
        <v>1</v>
      </c>
    </row>
    <row r="3" spans="1:28" x14ac:dyDescent="0.35">
      <c r="A3" s="3">
        <v>2</v>
      </c>
      <c r="B3" t="s">
        <v>6</v>
      </c>
      <c r="C3" s="3">
        <v>5</v>
      </c>
      <c r="D3" s="12" t="s">
        <v>56</v>
      </c>
      <c r="E3" s="10">
        <v>4</v>
      </c>
      <c r="F3" s="4"/>
      <c r="H3" s="8" t="s">
        <v>53</v>
      </c>
      <c r="I3" s="9">
        <v>1</v>
      </c>
      <c r="Y3" s="11">
        <f>COUNTIF(Validation,"V")</f>
        <v>19</v>
      </c>
      <c r="Z3" s="13">
        <v>24</v>
      </c>
      <c r="AA3" s="13" t="s">
        <v>4</v>
      </c>
      <c r="AB3" s="11">
        <f t="shared" ref="AB3:AB41" si="0">IF($D3="X",1,0)+$E3</f>
        <v>4</v>
      </c>
    </row>
    <row r="4" spans="1:28" ht="43.5" x14ac:dyDescent="0.35">
      <c r="A4" s="3">
        <v>3</v>
      </c>
      <c r="B4" s="2" t="s">
        <v>5</v>
      </c>
      <c r="C4" s="3" t="s">
        <v>4</v>
      </c>
      <c r="D4" s="12" t="s">
        <v>56</v>
      </c>
      <c r="E4" s="10">
        <v>0</v>
      </c>
      <c r="I4" s="1"/>
      <c r="Y4" s="11">
        <f>COUNTIF(Validation,"X")+I3</f>
        <v>1</v>
      </c>
      <c r="Z4" s="13">
        <v>2</v>
      </c>
      <c r="AA4" s="13">
        <v>5</v>
      </c>
      <c r="AB4" s="11">
        <f t="shared" si="0"/>
        <v>0</v>
      </c>
    </row>
    <row r="5" spans="1:28" ht="58" x14ac:dyDescent="0.35">
      <c r="A5" s="3">
        <v>4</v>
      </c>
      <c r="B5" s="2" t="s">
        <v>18</v>
      </c>
      <c r="C5" s="3" t="s">
        <v>11</v>
      </c>
      <c r="D5" s="12" t="s">
        <v>56</v>
      </c>
      <c r="E5" s="10">
        <v>0</v>
      </c>
      <c r="I5" s="1"/>
      <c r="Y5" s="11">
        <f>IF($D5="X",1,0)+$E5</f>
        <v>0</v>
      </c>
      <c r="Z5" s="13">
        <v>9</v>
      </c>
      <c r="AA5" s="13" t="s">
        <v>9</v>
      </c>
      <c r="AB5" s="11">
        <f t="shared" si="0"/>
        <v>0</v>
      </c>
    </row>
    <row r="6" spans="1:28" ht="29" x14ac:dyDescent="0.35">
      <c r="A6" s="3">
        <v>5</v>
      </c>
      <c r="B6" s="2" t="s">
        <v>19</v>
      </c>
      <c r="C6" s="3" t="s">
        <v>7</v>
      </c>
      <c r="D6" s="12" t="s">
        <v>56</v>
      </c>
      <c r="E6" s="10">
        <v>0</v>
      </c>
      <c r="I6" s="1"/>
      <c r="Z6" s="13">
        <v>17</v>
      </c>
      <c r="AA6" s="13" t="s">
        <v>4</v>
      </c>
      <c r="AB6" s="11">
        <f t="shared" si="0"/>
        <v>0</v>
      </c>
    </row>
    <row r="7" spans="1:28" ht="29" x14ac:dyDescent="0.35">
      <c r="A7" s="3">
        <v>6</v>
      </c>
      <c r="B7" s="2" t="s">
        <v>20</v>
      </c>
      <c r="C7" s="3" t="s">
        <v>4</v>
      </c>
      <c r="D7" s="12" t="s">
        <v>56</v>
      </c>
      <c r="E7" s="10">
        <v>0</v>
      </c>
      <c r="I7" s="1"/>
      <c r="Z7" s="13">
        <v>36</v>
      </c>
      <c r="AA7" s="13" t="s">
        <v>7</v>
      </c>
      <c r="AB7" s="11">
        <f t="shared" si="0"/>
        <v>0</v>
      </c>
    </row>
    <row r="8" spans="1:28" ht="72.5" x14ac:dyDescent="0.35">
      <c r="A8" s="3">
        <v>7</v>
      </c>
      <c r="B8" s="2" t="s">
        <v>15</v>
      </c>
      <c r="C8" s="3" t="s">
        <v>4</v>
      </c>
      <c r="D8" s="12" t="s">
        <v>56</v>
      </c>
      <c r="E8" s="10">
        <v>0</v>
      </c>
      <c r="I8" s="1"/>
      <c r="Z8" s="13">
        <v>25</v>
      </c>
      <c r="AA8" s="13">
        <v>12</v>
      </c>
      <c r="AB8" s="11">
        <f t="shared" si="0"/>
        <v>0</v>
      </c>
    </row>
    <row r="9" spans="1:28" ht="43.5" x14ac:dyDescent="0.35">
      <c r="A9" s="3">
        <v>8</v>
      </c>
      <c r="B9" s="2" t="s">
        <v>21</v>
      </c>
      <c r="C9" s="3" t="s">
        <v>14</v>
      </c>
      <c r="D9" s="12" t="s">
        <v>56</v>
      </c>
      <c r="E9" s="10">
        <v>0</v>
      </c>
      <c r="I9" s="1"/>
      <c r="Z9" s="13">
        <v>13</v>
      </c>
      <c r="AA9" s="13" t="s">
        <v>9</v>
      </c>
      <c r="AB9" s="11">
        <f t="shared" si="0"/>
        <v>0</v>
      </c>
    </row>
    <row r="10" spans="1:28" ht="58" x14ac:dyDescent="0.35">
      <c r="A10" s="3">
        <v>9</v>
      </c>
      <c r="B10" s="2" t="s">
        <v>16</v>
      </c>
      <c r="C10" s="3" t="s">
        <v>9</v>
      </c>
      <c r="D10" s="12" t="s">
        <v>56</v>
      </c>
      <c r="E10" s="10">
        <v>0</v>
      </c>
      <c r="I10" s="1"/>
      <c r="Z10" s="13">
        <v>19</v>
      </c>
      <c r="AA10" s="13" t="s">
        <v>7</v>
      </c>
      <c r="AB10" s="11">
        <f t="shared" si="0"/>
        <v>0</v>
      </c>
    </row>
    <row r="11" spans="1:28" ht="43.5" x14ac:dyDescent="0.35">
      <c r="A11" s="3">
        <v>10</v>
      </c>
      <c r="B11" s="2" t="s">
        <v>17</v>
      </c>
      <c r="C11" s="3" t="s">
        <v>11</v>
      </c>
      <c r="D11" s="12" t="s">
        <v>56</v>
      </c>
      <c r="E11" s="10">
        <v>0</v>
      </c>
      <c r="I11" s="1"/>
      <c r="Z11" s="13">
        <v>7</v>
      </c>
      <c r="AA11" s="13" t="s">
        <v>4</v>
      </c>
      <c r="AB11" s="11">
        <f t="shared" si="0"/>
        <v>0</v>
      </c>
    </row>
    <row r="12" spans="1:28" ht="43.5" x14ac:dyDescent="0.35">
      <c r="A12" s="3">
        <v>11</v>
      </c>
      <c r="B12" s="2" t="s">
        <v>10</v>
      </c>
      <c r="C12" s="3" t="s">
        <v>11</v>
      </c>
      <c r="D12" s="12" t="s">
        <v>56</v>
      </c>
      <c r="E12" s="10">
        <v>0</v>
      </c>
      <c r="I12" s="1"/>
      <c r="Z12" s="13">
        <v>18</v>
      </c>
      <c r="AA12" s="13" t="s">
        <v>7</v>
      </c>
      <c r="AB12" s="11">
        <f t="shared" si="0"/>
        <v>0</v>
      </c>
    </row>
    <row r="13" spans="1:28" ht="58" x14ac:dyDescent="0.35">
      <c r="A13" s="3">
        <v>12</v>
      </c>
      <c r="B13" s="2" t="s">
        <v>48</v>
      </c>
      <c r="C13" s="3" t="s">
        <v>11</v>
      </c>
      <c r="D13" s="12" t="s">
        <v>56</v>
      </c>
      <c r="E13" s="10">
        <v>0</v>
      </c>
      <c r="I13" s="1"/>
      <c r="Z13" s="13">
        <v>4</v>
      </c>
      <c r="AA13" s="13" t="s">
        <v>11</v>
      </c>
      <c r="AB13" s="11">
        <f t="shared" si="0"/>
        <v>0</v>
      </c>
    </row>
    <row r="14" spans="1:28" ht="47" customHeight="1" x14ac:dyDescent="0.35">
      <c r="A14" s="3">
        <v>13</v>
      </c>
      <c r="B14" s="2" t="s">
        <v>8</v>
      </c>
      <c r="C14" s="3" t="s">
        <v>9</v>
      </c>
      <c r="D14" s="12" t="s">
        <v>56</v>
      </c>
      <c r="E14" s="10">
        <v>0</v>
      </c>
      <c r="I14" s="1"/>
      <c r="Z14" s="13">
        <v>10</v>
      </c>
      <c r="AA14" s="13" t="s">
        <v>11</v>
      </c>
      <c r="AB14" s="11">
        <f t="shared" si="0"/>
        <v>0</v>
      </c>
    </row>
    <row r="15" spans="1:28" ht="29" x14ac:dyDescent="0.35">
      <c r="A15" s="3">
        <v>14</v>
      </c>
      <c r="B15" s="2" t="s">
        <v>12</v>
      </c>
      <c r="C15" s="3">
        <v>2</v>
      </c>
      <c r="D15" s="12" t="s">
        <v>56</v>
      </c>
      <c r="E15" s="10">
        <v>0</v>
      </c>
      <c r="I15" s="1"/>
      <c r="Z15" s="13">
        <v>39</v>
      </c>
      <c r="AA15" s="13" t="s">
        <v>11</v>
      </c>
      <c r="AB15" s="11">
        <f t="shared" si="0"/>
        <v>0</v>
      </c>
    </row>
    <row r="16" spans="1:28" ht="43.5" x14ac:dyDescent="0.35">
      <c r="A16" s="3">
        <v>15</v>
      </c>
      <c r="B16" s="2" t="s">
        <v>22</v>
      </c>
      <c r="C16" s="3" t="s">
        <v>4</v>
      </c>
      <c r="D16" s="12" t="s">
        <v>56</v>
      </c>
      <c r="E16" s="10">
        <v>0</v>
      </c>
      <c r="I16" s="1"/>
      <c r="Z16" s="13">
        <v>28</v>
      </c>
      <c r="AA16" s="13" t="s">
        <v>35</v>
      </c>
      <c r="AB16" s="11">
        <f t="shared" si="0"/>
        <v>0</v>
      </c>
    </row>
    <row r="17" spans="1:28" ht="43.5" x14ac:dyDescent="0.35">
      <c r="A17" s="3">
        <v>16</v>
      </c>
      <c r="B17" s="2" t="s">
        <v>23</v>
      </c>
      <c r="C17" s="3" t="s">
        <v>11</v>
      </c>
      <c r="D17" s="12" t="s">
        <v>56</v>
      </c>
      <c r="E17" s="10">
        <v>0</v>
      </c>
      <c r="I17" s="1"/>
      <c r="Z17" s="13">
        <v>14</v>
      </c>
      <c r="AA17" s="13">
        <v>2</v>
      </c>
      <c r="AB17" s="11">
        <f t="shared" si="0"/>
        <v>0</v>
      </c>
    </row>
    <row r="18" spans="1:28" ht="43.5" x14ac:dyDescent="0.35">
      <c r="A18" s="3">
        <v>17</v>
      </c>
      <c r="B18" s="2" t="s">
        <v>13</v>
      </c>
      <c r="C18" s="3" t="s">
        <v>4</v>
      </c>
      <c r="D18" s="12" t="s">
        <v>56</v>
      </c>
      <c r="E18" s="10">
        <v>0</v>
      </c>
      <c r="I18" s="1"/>
      <c r="Z18" s="13">
        <v>31</v>
      </c>
      <c r="AA18" s="13">
        <v>47</v>
      </c>
      <c r="AB18" s="11">
        <f t="shared" si="0"/>
        <v>0</v>
      </c>
    </row>
    <row r="19" spans="1:28" ht="58" x14ac:dyDescent="0.35">
      <c r="A19" s="3">
        <v>18</v>
      </c>
      <c r="B19" s="2" t="s">
        <v>24</v>
      </c>
      <c r="C19" s="3" t="s">
        <v>7</v>
      </c>
      <c r="D19" s="12" t="s">
        <v>56</v>
      </c>
      <c r="E19" s="10">
        <v>0</v>
      </c>
      <c r="I19" s="1"/>
      <c r="Z19" s="13">
        <v>29</v>
      </c>
      <c r="AA19" s="13" t="s">
        <v>30</v>
      </c>
      <c r="AB19" s="11">
        <f t="shared" si="0"/>
        <v>0</v>
      </c>
    </row>
    <row r="20" spans="1:28" ht="72.5" x14ac:dyDescent="0.35">
      <c r="A20" s="3">
        <v>19</v>
      </c>
      <c r="B20" s="2" t="s">
        <v>49</v>
      </c>
      <c r="C20" s="3" t="s">
        <v>7</v>
      </c>
      <c r="D20" s="12" t="s">
        <v>56</v>
      </c>
      <c r="E20" s="10">
        <v>0</v>
      </c>
      <c r="I20" s="1"/>
      <c r="Z20" s="13">
        <v>8</v>
      </c>
      <c r="AA20" s="13" t="s">
        <v>14</v>
      </c>
      <c r="AB20" s="11">
        <f t="shared" si="0"/>
        <v>0</v>
      </c>
    </row>
    <row r="21" spans="1:28" ht="58" x14ac:dyDescent="0.35">
      <c r="A21" s="3">
        <v>20</v>
      </c>
      <c r="B21" s="2" t="s">
        <v>47</v>
      </c>
      <c r="D21" s="12" t="s">
        <v>50</v>
      </c>
      <c r="E21" s="10">
        <v>0</v>
      </c>
      <c r="I21" s="1"/>
      <c r="Z21" s="13">
        <v>12</v>
      </c>
      <c r="AA21" s="13" t="s">
        <v>11</v>
      </c>
      <c r="AB21" s="11">
        <f t="shared" si="0"/>
        <v>0</v>
      </c>
    </row>
    <row r="22" spans="1:28" x14ac:dyDescent="0.35">
      <c r="A22" s="3">
        <v>21</v>
      </c>
      <c r="B22" t="s">
        <v>3</v>
      </c>
      <c r="D22" s="12" t="s">
        <v>50</v>
      </c>
      <c r="E22" s="10">
        <v>0</v>
      </c>
      <c r="I22" s="1"/>
      <c r="Z22" s="13">
        <v>20</v>
      </c>
      <c r="AA22" s="13" t="s">
        <v>4</v>
      </c>
      <c r="AB22" s="11">
        <f t="shared" si="0"/>
        <v>0</v>
      </c>
    </row>
    <row r="23" spans="1:28" x14ac:dyDescent="0.35">
      <c r="A23" s="3">
        <v>22</v>
      </c>
      <c r="B23" t="s">
        <v>25</v>
      </c>
      <c r="D23" s="12" t="s">
        <v>50</v>
      </c>
      <c r="E23" s="10">
        <v>0</v>
      </c>
      <c r="I23" s="1"/>
      <c r="Z23" s="13">
        <v>15</v>
      </c>
      <c r="AA23" s="13" t="s">
        <v>4</v>
      </c>
      <c r="AB23" s="11">
        <f t="shared" si="0"/>
        <v>0</v>
      </c>
    </row>
    <row r="24" spans="1:28" x14ac:dyDescent="0.35">
      <c r="A24" s="3">
        <v>23</v>
      </c>
      <c r="B24" t="s">
        <v>31</v>
      </c>
      <c r="D24" s="12" t="s">
        <v>50</v>
      </c>
      <c r="E24" s="10">
        <v>0</v>
      </c>
      <c r="I24" s="1"/>
      <c r="Z24" s="13">
        <v>3</v>
      </c>
      <c r="AA24" s="13" t="s">
        <v>4</v>
      </c>
      <c r="AB24" s="11">
        <f t="shared" si="0"/>
        <v>0</v>
      </c>
    </row>
    <row r="25" spans="1:28" ht="43.5" x14ac:dyDescent="0.35">
      <c r="A25" s="3">
        <v>24</v>
      </c>
      <c r="B25" s="2" t="s">
        <v>32</v>
      </c>
      <c r="D25" s="12" t="s">
        <v>50</v>
      </c>
      <c r="E25" s="10">
        <v>0</v>
      </c>
      <c r="I25" s="1"/>
      <c r="Z25" s="13">
        <v>1</v>
      </c>
      <c r="AA25" s="13">
        <v>232</v>
      </c>
      <c r="AB25" s="11">
        <f t="shared" si="0"/>
        <v>0</v>
      </c>
    </row>
    <row r="26" spans="1:28" x14ac:dyDescent="0.35">
      <c r="A26" s="3">
        <v>25</v>
      </c>
      <c r="B26" t="s">
        <v>26</v>
      </c>
      <c r="D26" s="12" t="s">
        <v>50</v>
      </c>
      <c r="E26" s="10">
        <v>0</v>
      </c>
      <c r="I26" s="1"/>
      <c r="Z26" s="13">
        <v>6</v>
      </c>
      <c r="AA26" s="13" t="s">
        <v>4</v>
      </c>
      <c r="AB26" s="11">
        <f t="shared" si="0"/>
        <v>0</v>
      </c>
    </row>
    <row r="27" spans="1:28" x14ac:dyDescent="0.35">
      <c r="A27" s="3">
        <v>26</v>
      </c>
      <c r="B27" t="s">
        <v>27</v>
      </c>
      <c r="D27" s="12" t="s">
        <v>50</v>
      </c>
      <c r="E27" s="10">
        <v>0</v>
      </c>
      <c r="I27" s="1"/>
      <c r="Z27" s="13">
        <v>34</v>
      </c>
      <c r="AA27" s="13" t="s">
        <v>7</v>
      </c>
      <c r="AB27" s="11">
        <f t="shared" si="0"/>
        <v>0</v>
      </c>
    </row>
    <row r="28" spans="1:28" x14ac:dyDescent="0.35">
      <c r="A28" s="3">
        <v>27</v>
      </c>
      <c r="B28" t="s">
        <v>29</v>
      </c>
      <c r="D28" s="12" t="s">
        <v>50</v>
      </c>
      <c r="E28" s="10">
        <v>0</v>
      </c>
      <c r="I28" s="1"/>
      <c r="Z28" s="13">
        <v>23</v>
      </c>
      <c r="AA28" s="13">
        <v>4</v>
      </c>
      <c r="AB28" s="11">
        <f t="shared" si="0"/>
        <v>0</v>
      </c>
    </row>
    <row r="29" spans="1:28" ht="29" x14ac:dyDescent="0.35">
      <c r="A29" s="3">
        <v>28</v>
      </c>
      <c r="B29" s="2" t="s">
        <v>34</v>
      </c>
      <c r="D29" s="12" t="s">
        <v>50</v>
      </c>
      <c r="E29" s="10">
        <v>0</v>
      </c>
      <c r="I29" s="1"/>
      <c r="Z29" s="13">
        <v>16</v>
      </c>
      <c r="AA29" s="13" t="s">
        <v>11</v>
      </c>
      <c r="AB29" s="11">
        <f t="shared" si="0"/>
        <v>0</v>
      </c>
    </row>
    <row r="30" spans="1:28" ht="30.75" customHeight="1" x14ac:dyDescent="0.35">
      <c r="A30" s="3">
        <v>29</v>
      </c>
      <c r="B30" s="2" t="s">
        <v>33</v>
      </c>
      <c r="D30" s="12" t="s">
        <v>50</v>
      </c>
      <c r="E30" s="10">
        <v>0</v>
      </c>
      <c r="I30" s="1"/>
      <c r="Z30" s="13">
        <v>40</v>
      </c>
      <c r="AA30" s="13" t="s">
        <v>14</v>
      </c>
      <c r="AB30" s="11">
        <f t="shared" si="0"/>
        <v>0</v>
      </c>
    </row>
    <row r="31" spans="1:28" ht="72.5" x14ac:dyDescent="0.35">
      <c r="A31" s="3">
        <v>30</v>
      </c>
      <c r="B31" s="2" t="s">
        <v>38</v>
      </c>
      <c r="D31" s="12" t="s">
        <v>50</v>
      </c>
      <c r="E31" s="10">
        <v>0</v>
      </c>
      <c r="I31" s="1"/>
      <c r="Z31" s="13">
        <v>26</v>
      </c>
      <c r="AA31" s="13">
        <v>1017</v>
      </c>
      <c r="AB31" s="11">
        <f t="shared" si="0"/>
        <v>0</v>
      </c>
    </row>
    <row r="32" spans="1:28" x14ac:dyDescent="0.35">
      <c r="A32" s="3">
        <v>31</v>
      </c>
      <c r="B32" t="s">
        <v>36</v>
      </c>
      <c r="D32" s="12" t="s">
        <v>50</v>
      </c>
      <c r="E32" s="10">
        <v>0</v>
      </c>
      <c r="I32" s="1"/>
      <c r="Z32" s="13">
        <v>32</v>
      </c>
      <c r="AA32" s="13" t="s">
        <v>14</v>
      </c>
      <c r="AB32" s="11">
        <f t="shared" si="0"/>
        <v>0</v>
      </c>
    </row>
    <row r="33" spans="1:28" ht="59" customHeight="1" x14ac:dyDescent="0.35">
      <c r="A33" s="3">
        <v>32</v>
      </c>
      <c r="B33" s="2" t="s">
        <v>37</v>
      </c>
      <c r="D33" s="12" t="s">
        <v>50</v>
      </c>
      <c r="E33" s="10">
        <v>0</v>
      </c>
      <c r="I33" s="1"/>
      <c r="Z33" s="13">
        <v>27</v>
      </c>
      <c r="AA33" s="13" t="s">
        <v>28</v>
      </c>
      <c r="AB33" s="11">
        <f t="shared" si="0"/>
        <v>0</v>
      </c>
    </row>
    <row r="34" spans="1:28" ht="45" customHeight="1" x14ac:dyDescent="0.35">
      <c r="A34" s="3">
        <v>33</v>
      </c>
      <c r="B34" s="2" t="s">
        <v>39</v>
      </c>
      <c r="D34" s="12" t="s">
        <v>50</v>
      </c>
      <c r="E34" s="10">
        <v>0</v>
      </c>
      <c r="I34" s="1"/>
      <c r="Z34" s="13">
        <v>30</v>
      </c>
      <c r="AA34" s="13" t="s">
        <v>4</v>
      </c>
      <c r="AB34" s="11">
        <f t="shared" si="0"/>
        <v>0</v>
      </c>
    </row>
    <row r="35" spans="1:28" ht="29" x14ac:dyDescent="0.35">
      <c r="A35" s="3">
        <v>34</v>
      </c>
      <c r="B35" s="2" t="s">
        <v>40</v>
      </c>
      <c r="D35" s="12" t="s">
        <v>50</v>
      </c>
      <c r="E35" s="10">
        <v>0</v>
      </c>
      <c r="I35" s="1"/>
      <c r="Z35" s="13">
        <v>33</v>
      </c>
      <c r="AA35" s="13" t="s">
        <v>14</v>
      </c>
      <c r="AB35" s="11">
        <f t="shared" si="0"/>
        <v>0</v>
      </c>
    </row>
    <row r="36" spans="1:28" ht="43.5" x14ac:dyDescent="0.35">
      <c r="A36" s="3">
        <v>35</v>
      </c>
      <c r="B36" s="2" t="s">
        <v>41</v>
      </c>
      <c r="D36" s="12" t="s">
        <v>50</v>
      </c>
      <c r="E36" s="10">
        <v>0</v>
      </c>
      <c r="I36" s="1"/>
      <c r="Z36" s="13">
        <v>11</v>
      </c>
      <c r="AA36" s="13" t="s">
        <v>11</v>
      </c>
      <c r="AB36" s="11">
        <f t="shared" si="0"/>
        <v>0</v>
      </c>
    </row>
    <row r="37" spans="1:28" ht="43.5" x14ac:dyDescent="0.35">
      <c r="A37" s="3">
        <v>36</v>
      </c>
      <c r="B37" s="2" t="s">
        <v>42</v>
      </c>
      <c r="D37" s="12" t="s">
        <v>50</v>
      </c>
      <c r="E37" s="10">
        <v>0</v>
      </c>
      <c r="I37" s="1"/>
      <c r="Z37" s="13">
        <v>5</v>
      </c>
      <c r="AA37" s="13" t="s">
        <v>7</v>
      </c>
      <c r="AB37" s="11">
        <f t="shared" si="0"/>
        <v>0</v>
      </c>
    </row>
    <row r="38" spans="1:28" ht="43.5" x14ac:dyDescent="0.35">
      <c r="A38" s="3">
        <v>37</v>
      </c>
      <c r="B38" s="2" t="s">
        <v>43</v>
      </c>
      <c r="D38" s="12" t="s">
        <v>50</v>
      </c>
      <c r="E38" s="10">
        <v>0</v>
      </c>
      <c r="I38" s="1"/>
      <c r="Z38" s="13">
        <v>37</v>
      </c>
      <c r="AA38" s="13" t="s">
        <v>11</v>
      </c>
      <c r="AB38" s="11">
        <f t="shared" si="0"/>
        <v>0</v>
      </c>
    </row>
    <row r="39" spans="1:28" ht="58" x14ac:dyDescent="0.35">
      <c r="A39" s="3">
        <v>38</v>
      </c>
      <c r="B39" s="2" t="s">
        <v>44</v>
      </c>
      <c r="D39" s="12" t="s">
        <v>50</v>
      </c>
      <c r="E39" s="10">
        <v>0</v>
      </c>
      <c r="I39" s="1"/>
      <c r="Z39" s="13">
        <v>22</v>
      </c>
      <c r="AA39" s="13">
        <v>3</v>
      </c>
      <c r="AB39" s="11">
        <f t="shared" si="0"/>
        <v>0</v>
      </c>
    </row>
    <row r="40" spans="1:28" ht="43.5" x14ac:dyDescent="0.35">
      <c r="A40" s="3">
        <v>39</v>
      </c>
      <c r="B40" s="2" t="s">
        <v>45</v>
      </c>
      <c r="D40" s="12" t="s">
        <v>50</v>
      </c>
      <c r="E40" s="10">
        <v>0</v>
      </c>
      <c r="I40" s="1"/>
      <c r="Z40" s="13">
        <v>21</v>
      </c>
      <c r="AA40" s="13">
        <v>123</v>
      </c>
      <c r="AB40" s="11">
        <f t="shared" si="0"/>
        <v>0</v>
      </c>
    </row>
    <row r="41" spans="1:28" ht="43.5" x14ac:dyDescent="0.35">
      <c r="A41" s="3">
        <v>40</v>
      </c>
      <c r="B41" s="2" t="s">
        <v>46</v>
      </c>
      <c r="D41" s="12" t="s">
        <v>50</v>
      </c>
      <c r="E41" s="10">
        <v>0</v>
      </c>
      <c r="I41" s="1"/>
      <c r="Z41" s="13">
        <v>38</v>
      </c>
      <c r="AA41" s="13" t="s">
        <v>7</v>
      </c>
      <c r="AB41" s="11">
        <f t="shared" si="0"/>
        <v>0</v>
      </c>
    </row>
    <row r="42" spans="1:28" x14ac:dyDescent="0.35">
      <c r="I42" s="1"/>
    </row>
    <row r="43" spans="1:28" x14ac:dyDescent="0.35">
      <c r="I43" s="1"/>
    </row>
  </sheetData>
  <sortState xmlns:xlrd2="http://schemas.microsoft.com/office/spreadsheetml/2017/richdata2" ref="F2:H43">
    <sortCondition ref="F2:F43"/>
  </sortState>
  <mergeCells count="1">
    <mergeCell ref="H1:I1"/>
  </mergeCells>
  <conditionalFormatting sqref="Y2">
    <cfRule type="cellIs" dxfId="3" priority="73" operator="equal">
      <formula>"X"</formula>
    </cfRule>
    <cfRule type="cellIs" dxfId="2" priority="74" operator="equal">
      <formula>"V"</formula>
    </cfRule>
  </conditionalFormatting>
  <conditionalFormatting sqref="D2:D41">
    <cfRule type="cellIs" dxfId="1" priority="1" operator="equal">
      <formula>"X"</formula>
    </cfRule>
    <cfRule type="cellIs" dxfId="0" priority="2" operator="equal">
      <formula>"V"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Questions</vt:lpstr>
      <vt:lpstr>Feuil2</vt:lpstr>
      <vt:lpstr>Feuil3</vt:lpstr>
      <vt:lpstr>Essais</vt:lpstr>
      <vt:lpstr>Formule</vt:lpstr>
      <vt:lpstr>Ord</vt:lpstr>
      <vt:lpstr>Rep</vt:lpstr>
      <vt:lpstr>Réponses</vt:lpstr>
      <vt:lpstr>Validation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ferry</dc:creator>
  <cp:lastModifiedBy>Joshua Elukut Amaitum</cp:lastModifiedBy>
  <dcterms:created xsi:type="dcterms:W3CDTF">2018-11-03T17:08:08Z</dcterms:created>
  <dcterms:modified xsi:type="dcterms:W3CDTF">2024-03-09T00:57:54Z</dcterms:modified>
</cp:coreProperties>
</file>